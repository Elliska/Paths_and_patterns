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23133f2d5a34d5/Personal-wiki-and-ho-to/training/src/"/>
    </mc:Choice>
  </mc:AlternateContent>
  <xr:revisionPtr revIDLastSave="465" documentId="8_{B05150F2-8C66-444F-82FB-55B61D9D8A47}" xr6:coauthVersionLast="47" xr6:coauthVersionMax="47" xr10:uidLastSave="{666154FA-5C1D-405E-A271-958E4B3BD508}"/>
  <bookViews>
    <workbookView xWindow="28680" yWindow="-120" windowWidth="29040" windowHeight="15720" xr2:uid="{0E14D353-5C61-44FD-8EEE-506DDDCEF73D}"/>
  </bookViews>
  <sheets>
    <sheet name="plán" sheetId="1" r:id="rId1"/>
    <sheet name="týdenní rozvr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 s="1"/>
  <c r="A6" i="1" s="1"/>
  <c r="K14" i="1"/>
  <c r="E3" i="2"/>
  <c r="E2" i="2"/>
  <c r="B6" i="2"/>
  <c r="C6" i="2" s="1"/>
  <c r="E3" i="1"/>
  <c r="G3" i="1" s="1"/>
  <c r="G4" i="1" s="1"/>
  <c r="D3" i="1"/>
  <c r="D4" i="1" s="1"/>
  <c r="F2" i="1"/>
  <c r="K2" i="1"/>
  <c r="H2" i="1"/>
  <c r="D6" i="2" l="1"/>
  <c r="D14" i="2" s="1"/>
  <c r="E6" i="2"/>
  <c r="B6" i="1"/>
  <c r="A7" i="1"/>
  <c r="B5" i="1"/>
  <c r="B2" i="1"/>
  <c r="B4" i="1"/>
  <c r="B3" i="1"/>
  <c r="F3" i="1"/>
  <c r="E4" i="1"/>
  <c r="E5" i="1" s="1"/>
  <c r="G5" i="1"/>
  <c r="H4" i="1"/>
  <c r="D5" i="1"/>
  <c r="D6" i="1"/>
  <c r="D7" i="1" s="1"/>
  <c r="D8" i="1" s="1"/>
  <c r="H3" i="1"/>
  <c r="B14" i="2" l="1"/>
  <c r="C14" i="2"/>
  <c r="A8" i="1"/>
  <c r="B7" i="1"/>
  <c r="F5" i="1"/>
  <c r="E6" i="1"/>
  <c r="E7" i="1" s="1"/>
  <c r="E8" i="1" s="1"/>
  <c r="E10" i="1" s="1"/>
  <c r="E11" i="1" s="1"/>
  <c r="F4" i="1"/>
  <c r="D9" i="1"/>
  <c r="D10" i="1"/>
  <c r="D11" i="1" s="1"/>
  <c r="D12" i="1" s="1"/>
  <c r="G6" i="1"/>
  <c r="H5" i="1"/>
  <c r="A9" i="1" l="1"/>
  <c r="B8" i="1"/>
  <c r="E9" i="1"/>
  <c r="F9" i="1" s="1"/>
  <c r="F7" i="1"/>
  <c r="F8" i="1"/>
  <c r="F6" i="1"/>
  <c r="F10" i="1"/>
  <c r="D13" i="1"/>
  <c r="G7" i="1"/>
  <c r="H6" i="1"/>
  <c r="E12" i="1"/>
  <c r="F11" i="1"/>
  <c r="B9" i="1" l="1"/>
  <c r="A10" i="1"/>
  <c r="F12" i="1"/>
  <c r="E13" i="1"/>
  <c r="F13" i="1" s="1"/>
  <c r="G8" i="1"/>
  <c r="H7" i="1"/>
  <c r="A11" i="1" l="1"/>
  <c r="B10" i="1"/>
  <c r="G9" i="1"/>
  <c r="H8" i="1"/>
  <c r="A12" i="1" l="1"/>
  <c r="B11" i="1"/>
  <c r="G10" i="1"/>
  <c r="H9" i="1"/>
  <c r="A13" i="1" l="1"/>
  <c r="B13" i="1" s="1"/>
  <c r="B12" i="1"/>
  <c r="G14" i="2" s="1"/>
  <c r="G11" i="1"/>
  <c r="H10" i="1"/>
  <c r="G12" i="1" l="1"/>
  <c r="H11" i="1"/>
  <c r="I14" i="2" l="1"/>
  <c r="G13" i="1"/>
  <c r="H12" i="1"/>
  <c r="H13" i="1" l="1"/>
</calcChain>
</file>

<file path=xl/sharedStrings.xml><?xml version="1.0" encoding="utf-8"?>
<sst xmlns="http://schemas.openxmlformats.org/spreadsheetml/2006/main" count="45" uniqueCount="40">
  <si>
    <t>nejdelší trasa</t>
  </si>
  <si>
    <t>celkem týden</t>
  </si>
  <si>
    <t>doba v minutách</t>
  </si>
  <si>
    <t>doba v hodinách</t>
  </si>
  <si>
    <t>odpočinek</t>
  </si>
  <si>
    <t>běžná procházka</t>
  </si>
  <si>
    <t>koloběžka</t>
  </si>
  <si>
    <t>rychlost</t>
  </si>
  <si>
    <t>zbývá denně ujít</t>
  </si>
  <si>
    <t>reg</t>
  </si>
  <si>
    <t>počáteční datum plánu</t>
  </si>
  <si>
    <t>pondělí</t>
  </si>
  <si>
    <t>po</t>
  </si>
  <si>
    <t>út</t>
  </si>
  <si>
    <t>st</t>
  </si>
  <si>
    <t>čt</t>
  </si>
  <si>
    <t>pá</t>
  </si>
  <si>
    <t>so</t>
  </si>
  <si>
    <t>ne</t>
  </si>
  <si>
    <t>tréninkový týden</t>
  </si>
  <si>
    <t>týden roku</t>
  </si>
  <si>
    <t>tento týden</t>
  </si>
  <si>
    <t>max víkend</t>
  </si>
  <si>
    <t>max hike</t>
  </si>
  <si>
    <t>celkem týden zbývá</t>
  </si>
  <si>
    <t>celkem</t>
  </si>
  <si>
    <t>km</t>
  </si>
  <si>
    <t>tempo km</t>
  </si>
  <si>
    <t>-&gt; needs adjustment*</t>
  </si>
  <si>
    <t>regenerační zátěž***</t>
  </si>
  <si>
    <t>koeficient zvýšení zátěže**</t>
  </si>
  <si>
    <t>absolutní reálný max na čas za týden [h]</t>
  </si>
  <si>
    <t>tréninků týdně [x] mimo hlavní trasy [x - 1]</t>
  </si>
  <si>
    <t>poznámka</t>
  </si>
  <si>
    <t>realita</t>
  </si>
  <si>
    <t>plán</t>
  </si>
  <si>
    <t>typ tréninku</t>
  </si>
  <si>
    <t>fartlek</t>
  </si>
  <si>
    <t>volno</t>
  </si>
  <si>
    <t>součet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</si>
</sst>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"/>
  </numFmts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2" borderId="0" xfId="0" applyFill="1"/>
    <xf numFmtId="0" fontId="2" fillId="0" borderId="0" xfId="0" applyFont="1"/>
    <xf numFmtId="0" fontId="2" fillId="0" borderId="0" xfId="0" quotePrefix="1" applyFont="1"/>
    <xf numFmtId="20" fontId="0" fillId="0" borderId="0" xfId="0" applyNumberFormat="1"/>
    <xf numFmtId="0" fontId="0" fillId="0" borderId="0" xfId="0" applyFill="1"/>
    <xf numFmtId="0" fontId="0" fillId="3" borderId="0" xfId="0" applyFill="1"/>
    <xf numFmtId="14" fontId="0" fillId="3" borderId="0" xfId="0" applyNumberFormat="1" applyFill="1"/>
    <xf numFmtId="9" fontId="0" fillId="3" borderId="0" xfId="0" applyNumberFormat="1" applyFill="1"/>
  </cellXfs>
  <cellStyles count="1">
    <cellStyle name="Normální" xfId="0" builtinId="0"/>
  </cellStyles>
  <dxfs count="7">
    <dxf>
      <numFmt numFmtId="164" formatCode="dd/mm/"/>
    </dxf>
    <dxf>
      <fill>
        <patternFill>
          <bgColor theme="4" tint="0.79998168889431442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b/>
      </font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1</xdr:row>
      <xdr:rowOff>95250</xdr:rowOff>
    </xdr:from>
    <xdr:to>
      <xdr:col>20</xdr:col>
      <xdr:colOff>600075</xdr:colOff>
      <xdr:row>17</xdr:row>
      <xdr:rowOff>66676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EB6A86A1-0870-2CA7-6C02-5E05CEA26793}"/>
            </a:ext>
          </a:extLst>
        </xdr:cNvPr>
        <xdr:cNvSpPr txBox="1"/>
      </xdr:nvSpPr>
      <xdr:spPr>
        <a:xfrm>
          <a:off x="12649200" y="285750"/>
          <a:ext cx="4791075" cy="301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* need adjustment:</a:t>
          </a:r>
        </a:p>
        <a:p>
          <a:r>
            <a:rPr lang="cs-CZ" sz="1100"/>
            <a:t>- jakákoliv poznámka pro osobní účely. Např. tento týden zkontrolovat aktuální stav</a:t>
          </a:r>
          <a:r>
            <a:rPr lang="cs-CZ" sz="1100" baseline="0"/>
            <a:t> a zhodnotit další tréninkový postup</a:t>
          </a:r>
          <a:endParaRPr lang="cs-CZ" sz="1100"/>
        </a:p>
        <a:p>
          <a:endParaRPr lang="cs-CZ" sz="1100" baseline="0"/>
        </a:p>
        <a:p>
          <a:r>
            <a:rPr lang="cs-CZ" sz="1100" baseline="0"/>
            <a:t>** koeficient zvýšení zátěže:</a:t>
          </a:r>
        </a:p>
        <a:p>
          <a:r>
            <a:rPr lang="cs-CZ" sz="1100" baseline="0"/>
            <a:t>- o kolik procent se bude zátěž zvyšovat mezi jednotlivými týdny </a:t>
          </a:r>
        </a:p>
        <a:p>
          <a:r>
            <a:rPr lang="cs-CZ" sz="1100" baseline="0"/>
            <a:t>- pokud 1,15 = +15%</a:t>
          </a:r>
        </a:p>
        <a:p>
          <a:endParaRPr lang="cs-CZ" sz="1100" baseline="0"/>
        </a:p>
        <a:p>
          <a:r>
            <a:rPr lang="cs-CZ" sz="1100" baseline="0"/>
            <a:t>*** regenerační zátěž:</a:t>
          </a:r>
        </a:p>
        <a:p>
          <a:r>
            <a:rPr lang="cs-CZ" sz="1100" baseline="0"/>
            <a:t>- koeficient násobení snížení zátěže pro regenerační týden</a:t>
          </a:r>
        </a:p>
        <a:p>
          <a:r>
            <a:rPr lang="cs-CZ" sz="1100" baseline="0"/>
            <a:t>- pokud 0,7 = -30 %</a:t>
          </a:r>
        </a:p>
        <a:p>
          <a:endParaRPr lang="cs-CZ" sz="1100" baseline="0"/>
        </a:p>
        <a:p>
          <a:r>
            <a:rPr lang="cs-CZ" sz="1100" b="1" baseline="0"/>
            <a:t>Bledě modré bunky </a:t>
          </a:r>
          <a:r>
            <a:rPr lang="cs-CZ" sz="1100" baseline="0"/>
            <a:t>jsou  pro vyplnění uživatelských hodnot, zbytek se přepočítá sám.</a:t>
          </a:r>
          <a:endParaRPr lang="cs-CZ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DBE3C-9C11-4627-B7B0-72C1E38F39A9}" name="plan_table" displayName="plan_table" ref="A1:I13" totalsRowShown="0">
  <autoFilter ref="A1:I13" xr:uid="{992DBE3C-9C11-4627-B7B0-72C1E38F39A9}"/>
  <tableColumns count="9">
    <tableColumn id="1" xr3:uid="{1DE22336-7B58-406F-90F1-FE21B9288455}" name="pondělí" dataDxfId="0">
      <calculatedColumnFormula>A1+7</calculatedColumnFormula>
    </tableColumn>
    <tableColumn id="9" xr3:uid="{38B2D942-D3A9-4EB8-9D36-48C1F91F90BC}" name="týden roku" dataDxfId="6">
      <calculatedColumnFormula>WEEKNUM(A2,2)</calculatedColumnFormula>
    </tableColumn>
    <tableColumn id="2" xr3:uid="{649FC499-0BF6-46DD-B96E-117FBD558A80}" name="tréninkový týden"/>
    <tableColumn id="3" xr3:uid="{4166507F-2D62-449B-BBA4-EAADBB598FDB}" name="nejdelší trasa"/>
    <tableColumn id="4" xr3:uid="{E5112628-5842-4469-978C-45CE980E4D5C}" name="celkem týden"/>
    <tableColumn id="5" xr3:uid="{CB3DBA46-DB70-4823-9C24-BD8FC0E875B1}" name="zbývá denně ujít">
      <calculatedColumnFormula>ROUND((E2-D2)/$K$8,2)</calculatedColumnFormula>
    </tableColumn>
    <tableColumn id="6" xr3:uid="{E9901943-CD6F-407A-AB12-5DA0FFCDD2CE}" name="doba v minutách">
      <calculatedColumnFormula>ROUND(G1*$K$5,2)</calculatedColumnFormula>
    </tableColumn>
    <tableColumn id="7" xr3:uid="{1BAFBB09-1CE8-4506-9B23-B5EE7D21DF67}" name="doba v hodinách" dataDxfId="5">
      <calculatedColumnFormula>ROUND(G2/60,2)</calculatedColumnFormula>
    </tableColumn>
    <tableColumn id="10" xr3:uid="{2D110A5E-AA1C-4287-81BC-5FAAA56FBC55}" name="poznámka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CF08-B5E3-4B63-98F1-C79D684CC38E}">
  <dimension ref="A1:K29"/>
  <sheetViews>
    <sheetView tabSelected="1" workbookViewId="0">
      <selection activeCell="D23" sqref="D23"/>
    </sheetView>
  </sheetViews>
  <sheetFormatPr defaultRowHeight="15" x14ac:dyDescent="0.25"/>
  <cols>
    <col min="1" max="1" width="11.7109375" bestFit="1" customWidth="1"/>
    <col min="2" max="2" width="11.7109375" customWidth="1"/>
    <col min="3" max="3" width="13.140625" bestFit="1" customWidth="1"/>
    <col min="4" max="4" width="15.140625" customWidth="1"/>
    <col min="5" max="5" width="14.5703125" customWidth="1"/>
    <col min="6" max="6" width="17.140625" customWidth="1"/>
    <col min="7" max="8" width="17.85546875" customWidth="1"/>
    <col min="9" max="9" width="20.7109375" bestFit="1" customWidth="1"/>
    <col min="10" max="10" width="10.140625" bestFit="1" customWidth="1"/>
    <col min="11" max="11" width="10.42578125" bestFit="1" customWidth="1"/>
    <col min="16" max="16" width="10.28515625" bestFit="1" customWidth="1"/>
    <col min="17" max="17" width="16.140625" bestFit="1" customWidth="1"/>
    <col min="18" max="18" width="10" bestFit="1" customWidth="1"/>
    <col min="19" max="19" width="8" bestFit="1" customWidth="1"/>
    <col min="20" max="20" width="11.140625" bestFit="1" customWidth="1"/>
  </cols>
  <sheetData>
    <row r="1" spans="1:11" x14ac:dyDescent="0.25">
      <c r="A1" t="s">
        <v>11</v>
      </c>
      <c r="B1" t="s">
        <v>20</v>
      </c>
      <c r="C1" t="s">
        <v>19</v>
      </c>
      <c r="D1" t="s">
        <v>0</v>
      </c>
      <c r="E1" t="s">
        <v>1</v>
      </c>
      <c r="F1" t="s">
        <v>8</v>
      </c>
      <c r="G1" t="s">
        <v>2</v>
      </c>
      <c r="H1" t="s">
        <v>3</v>
      </c>
      <c r="I1" t="s">
        <v>33</v>
      </c>
      <c r="K1" t="s">
        <v>31</v>
      </c>
    </row>
    <row r="2" spans="1:11" x14ac:dyDescent="0.25">
      <c r="A2" s="3">
        <f>$K$14</f>
        <v>46741</v>
      </c>
      <c r="B2">
        <f t="shared" ref="B2:B13" si="0">WEEKNUM(A2,2)</f>
        <v>52</v>
      </c>
      <c r="C2" s="9"/>
      <c r="D2" s="9"/>
      <c r="E2" s="9"/>
      <c r="F2">
        <f>ROUND((E2-D2)/$K$8,2)</f>
        <v>0</v>
      </c>
      <c r="G2" s="9"/>
      <c r="H2" s="1">
        <f>ROUND(G2/60,2)</f>
        <v>0</v>
      </c>
      <c r="I2" s="6"/>
      <c r="K2" s="10">
        <f>4*3+1*8</f>
        <v>20</v>
      </c>
    </row>
    <row r="3" spans="1:11" x14ac:dyDescent="0.25">
      <c r="A3" s="3">
        <f>A2+7</f>
        <v>46748</v>
      </c>
      <c r="B3">
        <f t="shared" si="0"/>
        <v>53</v>
      </c>
      <c r="C3">
        <v>2</v>
      </c>
      <c r="D3">
        <f t="shared" ref="D3:D13" si="1">IF(C3="reg",ROUND(D2*$K$11,2),IF(C2="reg",ROUND(D1*$K$5,2),ROUND(D2*$K$5,2)))</f>
        <v>0</v>
      </c>
      <c r="E3">
        <f>IF(C3="reg",ROUND(E2*$K$11,2),IF(C2="reg",ROUND(E1*$K$5,2),ROUND(E2*$K$5,2)))</f>
        <v>0</v>
      </c>
      <c r="F3">
        <f t="shared" ref="F3:F13" si="2">ROUND((E3-D3)/$K$8,2)</f>
        <v>0</v>
      </c>
      <c r="G3">
        <f>ROUND(plan_table[[#This Row],[celkem týden]]*$K$17,2)</f>
        <v>0</v>
      </c>
      <c r="H3" s="1">
        <f>ROUND(G3/60,2)</f>
        <v>0</v>
      </c>
      <c r="I3" s="6"/>
    </row>
    <row r="4" spans="1:11" x14ac:dyDescent="0.25">
      <c r="A4" s="3">
        <f t="shared" ref="A4:A13" si="3">A3+7</f>
        <v>46755</v>
      </c>
      <c r="B4">
        <f t="shared" si="0"/>
        <v>2</v>
      </c>
      <c r="C4">
        <v>3</v>
      </c>
      <c r="D4">
        <f t="shared" si="1"/>
        <v>0</v>
      </c>
      <c r="E4">
        <f t="shared" ref="E4:E13" si="4">IF(C4="reg",ROUND(E3*$K$11,2),IF(C3="reg",ROUND(E2*$K$5,2),ROUND(E3*$K$5,2)))</f>
        <v>0</v>
      </c>
      <c r="F4">
        <f t="shared" si="2"/>
        <v>0</v>
      </c>
      <c r="G4">
        <f t="shared" ref="G4:G13" si="5">ROUND(G3*$K$5,2)</f>
        <v>0</v>
      </c>
      <c r="H4" s="1">
        <f t="shared" ref="H4:H13" si="6">ROUND(G4/60,2)</f>
        <v>0</v>
      </c>
      <c r="I4" s="6"/>
      <c r="K4" t="s">
        <v>30</v>
      </c>
    </row>
    <row r="5" spans="1:11" x14ac:dyDescent="0.25">
      <c r="A5" s="3">
        <f t="shared" si="3"/>
        <v>46762</v>
      </c>
      <c r="B5">
        <f t="shared" si="0"/>
        <v>3</v>
      </c>
      <c r="C5" t="s">
        <v>9</v>
      </c>
      <c r="D5">
        <f t="shared" si="1"/>
        <v>0</v>
      </c>
      <c r="E5">
        <f t="shared" si="4"/>
        <v>0</v>
      </c>
      <c r="F5">
        <f t="shared" si="2"/>
        <v>0</v>
      </c>
      <c r="G5">
        <f t="shared" si="5"/>
        <v>0</v>
      </c>
      <c r="H5" s="1">
        <f t="shared" si="6"/>
        <v>0</v>
      </c>
      <c r="I5" s="6"/>
      <c r="K5" s="10">
        <v>1.1499999999999999</v>
      </c>
    </row>
    <row r="6" spans="1:11" x14ac:dyDescent="0.25">
      <c r="A6" s="3">
        <f t="shared" si="3"/>
        <v>46769</v>
      </c>
      <c r="B6">
        <f t="shared" si="0"/>
        <v>4</v>
      </c>
      <c r="C6">
        <v>5</v>
      </c>
      <c r="D6">
        <f>IF(C6="reg",ROUND(D5*$K$11,2),IF(C5="reg",ROUND(D4*$K$5,2),ROUND(D5*$K$5,2)))</f>
        <v>0</v>
      </c>
      <c r="E6">
        <f t="shared" si="4"/>
        <v>0</v>
      </c>
      <c r="F6">
        <f t="shared" si="2"/>
        <v>0</v>
      </c>
      <c r="G6">
        <f t="shared" si="5"/>
        <v>0</v>
      </c>
      <c r="H6" s="1">
        <f t="shared" si="6"/>
        <v>0</v>
      </c>
      <c r="I6" s="6"/>
    </row>
    <row r="7" spans="1:11" x14ac:dyDescent="0.25">
      <c r="A7" s="3">
        <f t="shared" si="3"/>
        <v>46776</v>
      </c>
      <c r="B7">
        <f t="shared" si="0"/>
        <v>5</v>
      </c>
      <c r="C7">
        <v>6</v>
      </c>
      <c r="D7">
        <f t="shared" si="1"/>
        <v>0</v>
      </c>
      <c r="E7">
        <f t="shared" si="4"/>
        <v>0</v>
      </c>
      <c r="F7">
        <f t="shared" si="2"/>
        <v>0</v>
      </c>
      <c r="G7">
        <f t="shared" si="5"/>
        <v>0</v>
      </c>
      <c r="H7" s="1">
        <f t="shared" si="6"/>
        <v>0</v>
      </c>
      <c r="I7" s="6"/>
      <c r="K7" t="s">
        <v>32</v>
      </c>
    </row>
    <row r="8" spans="1:11" x14ac:dyDescent="0.25">
      <c r="A8" s="3">
        <f t="shared" si="3"/>
        <v>46783</v>
      </c>
      <c r="B8">
        <f t="shared" si="0"/>
        <v>6</v>
      </c>
      <c r="C8">
        <v>7</v>
      </c>
      <c r="D8">
        <f t="shared" si="1"/>
        <v>0</v>
      </c>
      <c r="E8">
        <f t="shared" si="4"/>
        <v>0</v>
      </c>
      <c r="F8">
        <f t="shared" si="2"/>
        <v>0</v>
      </c>
      <c r="G8">
        <f t="shared" si="5"/>
        <v>0</v>
      </c>
      <c r="H8" s="1">
        <f t="shared" si="6"/>
        <v>0</v>
      </c>
      <c r="I8" s="7" t="s">
        <v>28</v>
      </c>
      <c r="K8" s="10">
        <v>3</v>
      </c>
    </row>
    <row r="9" spans="1:11" x14ac:dyDescent="0.25">
      <c r="A9" s="3">
        <f t="shared" si="3"/>
        <v>46790</v>
      </c>
      <c r="B9">
        <f t="shared" si="0"/>
        <v>7</v>
      </c>
      <c r="C9" t="s">
        <v>9</v>
      </c>
      <c r="D9">
        <f t="shared" si="1"/>
        <v>0</v>
      </c>
      <c r="E9">
        <f t="shared" si="4"/>
        <v>0</v>
      </c>
      <c r="F9">
        <f t="shared" si="2"/>
        <v>0</v>
      </c>
      <c r="G9">
        <f t="shared" si="5"/>
        <v>0</v>
      </c>
      <c r="H9" s="1">
        <f t="shared" si="6"/>
        <v>0</v>
      </c>
      <c r="I9" s="6"/>
    </row>
    <row r="10" spans="1:11" x14ac:dyDescent="0.25">
      <c r="A10" s="3">
        <f t="shared" si="3"/>
        <v>46797</v>
      </c>
      <c r="B10">
        <f t="shared" si="0"/>
        <v>8</v>
      </c>
      <c r="C10">
        <v>9</v>
      </c>
      <c r="D10">
        <f t="shared" si="1"/>
        <v>0</v>
      </c>
      <c r="E10">
        <f t="shared" si="4"/>
        <v>0</v>
      </c>
      <c r="F10">
        <f t="shared" si="2"/>
        <v>0</v>
      </c>
      <c r="G10">
        <f t="shared" si="5"/>
        <v>0</v>
      </c>
      <c r="H10" s="1">
        <f t="shared" si="6"/>
        <v>0</v>
      </c>
      <c r="I10" s="6"/>
      <c r="K10" t="s">
        <v>29</v>
      </c>
    </row>
    <row r="11" spans="1:11" x14ac:dyDescent="0.25">
      <c r="A11" s="3">
        <f t="shared" si="3"/>
        <v>46804</v>
      </c>
      <c r="B11">
        <f t="shared" si="0"/>
        <v>9</v>
      </c>
      <c r="C11">
        <v>10</v>
      </c>
      <c r="D11">
        <f t="shared" si="1"/>
        <v>0</v>
      </c>
      <c r="E11">
        <f t="shared" si="4"/>
        <v>0</v>
      </c>
      <c r="F11">
        <f t="shared" si="2"/>
        <v>0</v>
      </c>
      <c r="G11">
        <f t="shared" si="5"/>
        <v>0</v>
      </c>
      <c r="H11" s="1">
        <f t="shared" si="6"/>
        <v>0</v>
      </c>
      <c r="I11" s="6"/>
      <c r="K11" s="10">
        <v>0.7</v>
      </c>
    </row>
    <row r="12" spans="1:11" x14ac:dyDescent="0.25">
      <c r="A12" s="3">
        <f t="shared" si="3"/>
        <v>46811</v>
      </c>
      <c r="B12">
        <f t="shared" si="0"/>
        <v>10</v>
      </c>
      <c r="C12">
        <v>11</v>
      </c>
      <c r="D12">
        <f t="shared" si="1"/>
        <v>0</v>
      </c>
      <c r="E12">
        <f t="shared" si="4"/>
        <v>0</v>
      </c>
      <c r="F12">
        <f t="shared" si="2"/>
        <v>0</v>
      </c>
      <c r="G12">
        <f t="shared" si="5"/>
        <v>0</v>
      </c>
      <c r="H12" s="1">
        <f t="shared" si="6"/>
        <v>0</v>
      </c>
      <c r="I12" s="6"/>
    </row>
    <row r="13" spans="1:11" x14ac:dyDescent="0.25">
      <c r="A13" s="3">
        <f t="shared" si="3"/>
        <v>46818</v>
      </c>
      <c r="B13">
        <f t="shared" si="0"/>
        <v>11</v>
      </c>
      <c r="C13" t="s">
        <v>9</v>
      </c>
      <c r="D13">
        <f t="shared" si="1"/>
        <v>0</v>
      </c>
      <c r="E13">
        <f t="shared" si="4"/>
        <v>0</v>
      </c>
      <c r="F13">
        <f t="shared" si="2"/>
        <v>0</v>
      </c>
      <c r="G13">
        <f t="shared" si="5"/>
        <v>0</v>
      </c>
      <c r="H13" s="1">
        <f t="shared" si="6"/>
        <v>0</v>
      </c>
      <c r="I13" s="6"/>
      <c r="K13" t="s">
        <v>10</v>
      </c>
    </row>
    <row r="14" spans="1:11" x14ac:dyDescent="0.25">
      <c r="A14" s="3"/>
      <c r="H14" s="1"/>
      <c r="K14" s="11">
        <f>DATE(2027,12,20)</f>
        <v>46741</v>
      </c>
    </row>
    <row r="15" spans="1:11" x14ac:dyDescent="0.25">
      <c r="A15" s="3"/>
      <c r="H15" s="1"/>
    </row>
    <row r="16" spans="1:11" x14ac:dyDescent="0.25">
      <c r="A16" s="3"/>
      <c r="H16" s="1"/>
      <c r="K16" t="s">
        <v>27</v>
      </c>
    </row>
    <row r="17" spans="1:11" x14ac:dyDescent="0.25">
      <c r="A17" s="3"/>
      <c r="H17" s="1"/>
      <c r="K17" s="10">
        <v>11.6</v>
      </c>
    </row>
    <row r="18" spans="1:11" x14ac:dyDescent="0.25">
      <c r="A18" s="3"/>
      <c r="H18" s="1"/>
    </row>
    <row r="19" spans="1:11" x14ac:dyDescent="0.25">
      <c r="A19" s="3"/>
      <c r="H19" s="1"/>
      <c r="J19" s="2"/>
    </row>
    <row r="20" spans="1:11" x14ac:dyDescent="0.25">
      <c r="A20" s="3"/>
      <c r="H20" s="1"/>
      <c r="J20" s="2"/>
    </row>
    <row r="21" spans="1:11" x14ac:dyDescent="0.25">
      <c r="A21" s="3"/>
      <c r="H21" s="1"/>
      <c r="J21" s="2"/>
    </row>
    <row r="22" spans="1:11" x14ac:dyDescent="0.25">
      <c r="A22" s="3"/>
      <c r="H22" s="1"/>
    </row>
    <row r="23" spans="1:11" x14ac:dyDescent="0.25">
      <c r="A23" s="3"/>
      <c r="H23" s="1"/>
    </row>
    <row r="24" spans="1:11" x14ac:dyDescent="0.25">
      <c r="A24" s="3"/>
      <c r="H24" s="1"/>
    </row>
    <row r="25" spans="1:11" x14ac:dyDescent="0.25">
      <c r="A25" s="3"/>
      <c r="C25" s="8"/>
      <c r="H25" s="1"/>
    </row>
    <row r="26" spans="1:11" x14ac:dyDescent="0.25">
      <c r="A26" s="3"/>
      <c r="H26" s="1"/>
    </row>
    <row r="27" spans="1:11" x14ac:dyDescent="0.25">
      <c r="A27" s="3"/>
      <c r="H27" s="1"/>
    </row>
    <row r="28" spans="1:11" x14ac:dyDescent="0.25">
      <c r="A28" s="3"/>
      <c r="B28" s="3"/>
    </row>
    <row r="29" spans="1:11" x14ac:dyDescent="0.25">
      <c r="A29" s="3"/>
      <c r="B29" s="3"/>
    </row>
  </sheetData>
  <phoneticPr fontId="1" type="noConversion"/>
  <conditionalFormatting sqref="A1:H13">
    <cfRule type="expression" dxfId="3" priority="2">
      <formula>$A1&lt;TODAY()</formula>
    </cfRule>
  </conditionalFormatting>
  <conditionalFormatting sqref="C1:H13">
    <cfRule type="expression" dxfId="2" priority="3">
      <formula>$C1="reg"</formula>
    </cfRule>
  </conditionalFormatting>
  <conditionalFormatting sqref="C2:E2 G2">
    <cfRule type="containsBlanks" dxfId="1" priority="4">
      <formula>LEN(TRIM(C2))=0</formula>
    </cfRule>
  </conditionalFormatting>
  <pageMargins left="0.7" right="0.7" top="0.78740157499999996" bottom="0.78740157499999996" header="0.3" footer="0.3"/>
  <ignoredErrors>
    <ignoredError sqref="A2 G3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E8A3-8292-4A87-BDBC-3ED0788ED9F3}">
  <dimension ref="A1:I14"/>
  <sheetViews>
    <sheetView workbookViewId="0">
      <selection activeCell="B9" sqref="B9"/>
    </sheetView>
  </sheetViews>
  <sheetFormatPr defaultRowHeight="15" x14ac:dyDescent="0.25"/>
  <cols>
    <col min="1" max="1" width="11.7109375" bestFit="1" customWidth="1"/>
    <col min="2" max="3" width="16.140625" bestFit="1" customWidth="1"/>
    <col min="4" max="5" width="18.28515625" bestFit="1" customWidth="1"/>
    <col min="6" max="6" width="11.140625" bestFit="1" customWidth="1"/>
    <col min="8" max="8" width="11" bestFit="1" customWidth="1"/>
    <col min="11" max="11" width="18.28515625" customWidth="1"/>
  </cols>
  <sheetData>
    <row r="1" spans="1:9" x14ac:dyDescent="0.25">
      <c r="B1" t="s">
        <v>4</v>
      </c>
      <c r="C1" t="s">
        <v>5</v>
      </c>
      <c r="D1" t="s">
        <v>7</v>
      </c>
      <c r="E1" t="s">
        <v>39</v>
      </c>
    </row>
    <row r="2" spans="1:9" x14ac:dyDescent="0.25">
      <c r="A2" t="s">
        <v>34</v>
      </c>
      <c r="B2" s="12">
        <v>0</v>
      </c>
      <c r="C2" s="12">
        <v>0.55000000000000004</v>
      </c>
      <c r="D2" s="12">
        <v>0.45</v>
      </c>
      <c r="E2" s="4">
        <f>SUM(B2:D2)</f>
        <v>1</v>
      </c>
    </row>
    <row r="3" spans="1:9" x14ac:dyDescent="0.25">
      <c r="A3" t="s">
        <v>35</v>
      </c>
      <c r="B3" s="4">
        <v>0.2</v>
      </c>
      <c r="C3" s="4">
        <v>0.45</v>
      </c>
      <c r="D3" s="4">
        <v>0.35</v>
      </c>
      <c r="E3" s="4">
        <f>SUM(B3:D3)</f>
        <v>1</v>
      </c>
    </row>
    <row r="4" spans="1:9" x14ac:dyDescent="0.25">
      <c r="B4" s="4"/>
      <c r="C4" s="4"/>
      <c r="E4" s="4"/>
    </row>
    <row r="5" spans="1:9" x14ac:dyDescent="0.25">
      <c r="B5" s="4" t="s">
        <v>21</v>
      </c>
      <c r="C5" s="4" t="s">
        <v>22</v>
      </c>
      <c r="D5" t="s">
        <v>24</v>
      </c>
      <c r="E5" s="4" t="s">
        <v>1</v>
      </c>
    </row>
    <row r="6" spans="1:9" x14ac:dyDescent="0.25">
      <c r="B6">
        <f ca="1">WEEKNUM(TODAY())</f>
        <v>45</v>
      </c>
      <c r="C6" t="str">
        <f ca="1">IFERROR(_xlfn.XLOOKUP($B$6,plan_table[týden roku],plan_table[nejdelší trasa]), "n/a")</f>
        <v>n/a</v>
      </c>
      <c r="D6" t="str">
        <f ca="1">IFERROR((_xlfn.XLOOKUP($B$6, plan_table[týden roku], plan_table[celkem týden]) - C6), "n/a")</f>
        <v>n/a</v>
      </c>
      <c r="E6" t="str">
        <f ca="1">IFERROR(_xlfn.XLOOKUP($B$6,plan_table[týden roku],plan_table[celkem týden]),"n/a")</f>
        <v>n/a</v>
      </c>
    </row>
    <row r="12" spans="1:9" x14ac:dyDescent="0.25"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25</v>
      </c>
    </row>
    <row r="13" spans="1:9" x14ac:dyDescent="0.25">
      <c r="A13" t="s">
        <v>36</v>
      </c>
      <c r="B13" s="10" t="s">
        <v>4</v>
      </c>
      <c r="C13" s="10" t="s">
        <v>7</v>
      </c>
      <c r="D13" s="10" t="s">
        <v>37</v>
      </c>
      <c r="E13" s="10" t="s">
        <v>6</v>
      </c>
      <c r="F13" s="10" t="s">
        <v>38</v>
      </c>
      <c r="G13" s="10" t="s">
        <v>23</v>
      </c>
      <c r="H13" s="10"/>
      <c r="I13" s="10"/>
    </row>
    <row r="14" spans="1:9" x14ac:dyDescent="0.25">
      <c r="A14" t="s">
        <v>26</v>
      </c>
      <c r="B14" t="str">
        <f ca="1">IFERROR(ROUND(D6*B2,2),"n/a")</f>
        <v>n/a</v>
      </c>
      <c r="C14" t="str">
        <f ca="1">IFERROR(ROUND(D6*D2,2), "n/a")</f>
        <v>n/a</v>
      </c>
      <c r="D14" t="str">
        <f ca="1">IFERROR(ROUND(D6*C2,2),"n/a")</f>
        <v>n/a</v>
      </c>
      <c r="G14" t="str">
        <f ca="1">C6</f>
        <v>n/a</v>
      </c>
      <c r="I14">
        <f ca="1">SUM(B14:H14)</f>
        <v>0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plán</vt:lpstr>
      <vt:lpstr>týdenní rozvrh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 Malečková</dc:creator>
  <cp:lastModifiedBy>Ela Malečková</cp:lastModifiedBy>
  <dcterms:created xsi:type="dcterms:W3CDTF">2025-10-27T11:16:53Z</dcterms:created>
  <dcterms:modified xsi:type="dcterms:W3CDTF">2025-11-03T19:02:14Z</dcterms:modified>
</cp:coreProperties>
</file>